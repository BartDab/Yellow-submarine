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5"/>
    <sheet state="visible" name="estimate " sheetId="2" r:id="rId6"/>
  </sheets>
  <definedNames/>
  <calcPr/>
</workbook>
</file>

<file path=xl/sharedStrings.xml><?xml version="1.0" encoding="utf-8"?>
<sst xmlns="http://schemas.openxmlformats.org/spreadsheetml/2006/main" count="60" uniqueCount="53">
  <si>
    <t>WORK WEEKS</t>
  </si>
  <si>
    <t>ESTIMATE</t>
  </si>
  <si>
    <t>APPLIED FEEATURES</t>
  </si>
  <si>
    <t>15.10 - 22.10</t>
  </si>
  <si>
    <t>produkt</t>
  </si>
  <si>
    <t>shopping list</t>
  </si>
  <si>
    <t>link</t>
  </si>
  <si>
    <t>castorama trip</t>
  </si>
  <si>
    <t>water proof tests</t>
  </si>
  <si>
    <t>ilość</t>
  </si>
  <si>
    <t>software development</t>
  </si>
  <si>
    <t>cena/szt</t>
  </si>
  <si>
    <t>przesyłka</t>
  </si>
  <si>
    <t>cena</t>
  </si>
  <si>
    <t>Silnik N20-BT07 micro 100:1 320RPM - 12V</t>
  </si>
  <si>
    <t>22.10 - 29.10</t>
  </si>
  <si>
    <t>dc power supply</t>
  </si>
  <si>
    <t>botland</t>
  </si>
  <si>
    <t>3D modeling and logistics</t>
  </si>
  <si>
    <t>water tank testing</t>
  </si>
  <si>
    <t>29.10 - 5.11</t>
  </si>
  <si>
    <t>5.11 - 12.11</t>
  </si>
  <si>
    <t>communication module</t>
  </si>
  <si>
    <t>sensor technology</t>
  </si>
  <si>
    <t>data transmission</t>
  </si>
  <si>
    <t>12.11 - 19.11</t>
  </si>
  <si>
    <t>19.11 - 26.11</t>
  </si>
  <si>
    <t>in-water mobility</t>
  </si>
  <si>
    <t>motor controll</t>
  </si>
  <si>
    <t>static controll</t>
  </si>
  <si>
    <t>26.11 - 3.12</t>
  </si>
  <si>
    <t>3.12 - 10.12</t>
  </si>
  <si>
    <t>data processing</t>
  </si>
  <si>
    <t>remote controll</t>
  </si>
  <si>
    <t>final cuts</t>
  </si>
  <si>
    <t>10.12 - 17.12</t>
  </si>
  <si>
    <t>christmas break</t>
  </si>
  <si>
    <t>singing carols</t>
  </si>
  <si>
    <t>make a video of working model</t>
  </si>
  <si>
    <t>going from prototype to full on product</t>
  </si>
  <si>
    <t>modół BMS</t>
  </si>
  <si>
    <t>documentation</t>
  </si>
  <si>
    <t>ogniwo 18650</t>
  </si>
  <si>
    <t>L298N Sterownik Silnika</t>
  </si>
  <si>
    <t>amazon</t>
  </si>
  <si>
    <t xml:space="preserve">step up </t>
  </si>
  <si>
    <t>konwerter poziomów logicznych</t>
  </si>
  <si>
    <t>esp</t>
  </si>
  <si>
    <t>koszyk na ogniwa 18650</t>
  </si>
  <si>
    <t>bukłak</t>
  </si>
  <si>
    <t>allegro</t>
  </si>
  <si>
    <t>Pompa Perystaltyczna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</si>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</sst>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5.0"/>
      <color theme="1"/>
      <name val="Arial"/>
      <scheme val="minor"/>
    </font>
    <font/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</fills>
  <borders count="2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</border>
    <border>
      <left style="medium">
        <color rgb="FF000000"/>
      </left>
      <right style="thick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2" fillId="2" fontId="4" numFmtId="0" xfId="0" applyAlignment="1" applyBorder="1" applyFill="1" applyFont="1">
      <alignment horizontal="center" readingOrder="0"/>
    </xf>
    <xf borderId="4" fillId="0" fontId="3" numFmtId="0" xfId="0" applyBorder="1" applyFont="1"/>
    <xf borderId="5" fillId="2" fontId="5" numFmtId="0" xfId="0" applyAlignment="1" applyBorder="1" applyFill="1" applyFont="1">
      <alignment horizontal="center" readingOrder="0"/>
    </xf>
    <xf borderId="5" fillId="2" fontId="6" numFmtId="0" xfId="0" applyAlignment="1" applyBorder="1" applyFill="1" applyFont="1">
      <alignment horizontal="center" readingOrder="0"/>
    </xf>
    <xf borderId="6" fillId="3" fontId="7" numFmtId="0" xfId="0" applyAlignment="1" applyBorder="1" applyFill="1" applyFont="1">
      <alignment horizontal="center" readingOrder="0" shrinkToFit="0" vertical="center" wrapText="1"/>
    </xf>
    <xf borderId="6" fillId="3" fontId="6" numFmtId="0" xfId="0" applyAlignment="1" applyBorder="1" applyFill="1" applyFont="1">
      <alignment horizontal="center" readingOrder="0"/>
    </xf>
    <xf borderId="7" fillId="3" fontId="7" numFmtId="0" xfId="0" applyAlignment="1" applyBorder="1" applyFill="1" applyFont="1">
      <alignment horizontal="center" readingOrder="0" shrinkToFit="0" vertical="center" wrapText="1"/>
    </xf>
    <xf borderId="7" fillId="3" fontId="6" numFmtId="0" xfId="0" applyAlignment="1" applyBorder="1" applyFill="1" applyFont="1">
      <alignment horizontal="center" readingOrder="0"/>
    </xf>
    <xf borderId="8" fillId="4" fontId="7" numFmtId="0" xfId="0" applyAlignment="1" applyBorder="1" applyFill="1" applyFont="1">
      <alignment horizontal="center" readingOrder="0" shrinkToFit="0" vertical="center" wrapText="1"/>
    </xf>
    <xf borderId="9" fillId="3" fontId="6" numFmtId="0" xfId="0" applyAlignment="1" applyBorder="1" applyFill="1" applyFont="1">
      <alignment horizontal="center" readingOrder="0"/>
    </xf>
    <xf borderId="10" fillId="2" fontId="8" numFmtId="0" xfId="0" applyAlignment="1" applyBorder="1" applyFill="1" applyFont="1">
      <alignment readingOrder="0"/>
    </xf>
    <xf borderId="10" fillId="2" fontId="5" numFmtId="0" xfId="0" applyAlignment="1" applyBorder="1" applyFill="1" applyFont="1">
      <alignment horizontal="center" readingOrder="0"/>
    </xf>
    <xf borderId="11" fillId="3" fontId="7" numFmtId="0" xfId="0" applyAlignment="1" applyBorder="1" applyFill="1" applyFont="1">
      <alignment horizontal="center" readingOrder="0" shrinkToFit="0" vertical="center" wrapText="1"/>
    </xf>
    <xf borderId="12" fillId="3" fontId="7" numFmtId="0" xfId="0" applyAlignment="1" applyBorder="1" applyFill="1" applyFont="1">
      <alignment horizontal="center" readingOrder="0" shrinkToFit="0" vertical="center" wrapText="1"/>
    </xf>
    <xf borderId="8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3" fillId="3" fontId="9" numFmtId="0" xfId="0" applyAlignment="1" applyBorder="1" applyFill="1" applyFont="1">
      <alignment readingOrder="0"/>
    </xf>
    <xf borderId="14" fillId="3" fontId="8" numFmtId="0" xfId="0" applyAlignment="1" applyBorder="1" applyFill="1" applyFont="1">
      <alignment readingOrder="0"/>
    </xf>
    <xf borderId="15" fillId="2" fontId="5" numFmtId="0" xfId="0" applyAlignment="1" applyBorder="1" applyFill="1" applyFont="1">
      <alignment horizontal="center" readingOrder="0"/>
    </xf>
    <xf borderId="9" fillId="0" fontId="3" numFmtId="0" xfId="0" applyBorder="1" applyFont="1"/>
    <xf borderId="16" fillId="2" fontId="5" numFmtId="0" xfId="0" applyAlignment="1" applyBorder="1" applyFill="1" applyFont="1">
      <alignment horizontal="center" readingOrder="0" shrinkToFit="0" vertical="center" wrapText="1"/>
    </xf>
    <xf borderId="17" fillId="3" fontId="7" numFmtId="0" xfId="0" applyAlignment="1" applyBorder="1" applyFill="1" applyFont="1">
      <alignment horizontal="center" readingOrder="0" shrinkToFit="0" vertical="center" wrapText="1"/>
    </xf>
    <xf borderId="18" fillId="3" fontId="8" numFmtId="0" xfId="0" applyBorder="1" applyFill="1" applyFont="1"/>
    <xf borderId="19" fillId="3" fontId="7" numFmtId="0" xfId="0" applyAlignment="1" applyBorder="1" applyFill="1" applyFont="1">
      <alignment horizontal="center" readingOrder="0" shrinkToFit="0" vertical="center" wrapText="1"/>
    </xf>
    <xf borderId="20" fillId="4" fontId="7" numFmtId="0" xfId="0" applyAlignment="1" applyBorder="1" applyFill="1" applyFont="1">
      <alignment horizontal="center" readingOrder="0" shrinkToFit="0" vertical="center" wrapText="1"/>
    </xf>
    <xf borderId="21" fillId="0" fontId="8" numFmtId="0" xfId="0" applyBorder="1" applyFont="1"/>
    <xf borderId="14" fillId="3" fontId="8" numFmtId="0" xfId="0" applyBorder="1" applyFill="1" applyFont="1"/>
    <xf borderId="16" fillId="2" fontId="8" numFmtId="0" xfId="0" applyAlignment="1" applyBorder="1" applyFill="1" applyFont="1">
      <alignment readingOrder="0"/>
    </xf>
    <xf borderId="17" fillId="3" fontId="10" numFmtId="0" xfId="0" applyAlignment="1" applyBorder="1" applyFill="1" applyFont="1">
      <alignment readingOrder="0"/>
    </xf>
    <xf borderId="19" fillId="3" fontId="8" numFmtId="0" xfId="0" applyAlignment="1" applyBorder="1" applyFill="1" applyFont="1">
      <alignment readingOrder="0"/>
    </xf>
    <xf borderId="12" fillId="3" fontId="8" numFmtId="0" xfId="0" applyAlignment="1" applyBorder="1" applyFill="1" applyFont="1">
      <alignment readingOrder="0"/>
    </xf>
    <xf borderId="22" fillId="3" fontId="8" numFmtId="0" xfId="0" applyBorder="1" applyFill="1" applyFont="1"/>
    <xf borderId="1" fillId="5" fontId="11" numFmtId="0" xfId="0" applyAlignment="1" applyBorder="1" applyFill="1" applyFont="1">
      <alignment readingOrder="0"/>
    </xf>
    <xf borderId="1" fillId="5" fontId="11" numFmtId="0" xfId="0" applyBorder="1" applyFill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tland.com.pl/silniki-micro-n20-seria-mp-medium-power/12547-silnik-n20-bt07-micro-1001-320rpm-12v-5904422306519.html" TargetMode="External"/><Relationship Id="rId2" Type="http://schemas.openxmlformats.org/officeDocument/2006/relationships/hyperlink" Target="https://sklep.avt.pl/pl/products/modul-bms-pcm-pcb-ladowania-i-ochrony-ogniw-li-ion-4s-14-8v-30a-18650-183516.html" TargetMode="External"/><Relationship Id="rId3" Type="http://schemas.openxmlformats.org/officeDocument/2006/relationships/hyperlink" Target="https://botland.com.pl/akumulatory-li-ion/22840-ogniwo-18650-li-ion-inr18650-f1an-2200mah.html" TargetMode="External"/><Relationship Id="rId4" Type="http://schemas.openxmlformats.org/officeDocument/2006/relationships/hyperlink" Target="https://www.amazon.pl/Hailege-Controller-Stepper-H-Bridge-Arduino/dp/B07XJSMLGQ/262-5419781-7715402?pd_rd_w=GGOoK&amp;content-id=amzn1.sym.8f23202d-8215-48c0-83e9-682747c74b5c&amp;pf_rd_p=8f23202d-8215-48c0-83e9-682747c74b5c&amp;pf_rd_r=AJ4H1QCQGKTS0DX2D0XM&amp;pd_rd_wg=FtnyX&amp;pd_rd_r=38c65370-5987-4847-8986-af0362cf5b9b&amp;pd_rd_i=B07XJSMLGQ&amp;psc=1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allegro.pl/produkt/pompa-perystaltyczna-12v-6l-h-pompka-dozujaca-414d247d-f897-45b7-a4bd-3107c38d82bf?offerId=18072087417&amp;utm_feed=aa34192d-eee2-4419-9a9a-de66b9dfae24&amp;utm_term=promo&amp;utm_source=google&amp;utm_medium=cpc&amp;utm_campaign=_one_fulfillment_pl_ss&amp;ev_campaign_id=21770858572&amp;gad_source=1&amp;gad_campaignid=21770858572&amp;gbraid=0AAAAAD24kbNK-fGI1wBI7SkHx_71Cnq1B&amp;gclid=CjwKCAjwuczWBhA9EiwAYGgEoRMHEqy82GU_NNVNRq7oqM7WtemlbapijVD8JnUZH6bdKj_ovBmoahoCKJgQAvD_BwE" TargetMode="External"/><Relationship Id="rId9" Type="http://schemas.openxmlformats.org/officeDocument/2006/relationships/hyperlink" Target="https://allegro.pl/oferta/butelka-miekka-bidon-na-wode-skladana-m-tac-softflask-turystyczna-500-ml-14655224515?bi_s=ads&amp;bi_m=productlisting:desktop:query&amp;bi_c=ODQ3YjQ4MWEtZDNmZi00NzkwLWJmZDYtNGZmN2FkZWNkMGM4AA&amp;bi_t=ape&amp;referrer=proxy&amp;emission_unit_id=7c1cbada-3fc1-4db2-bb1b-727af1a3a4e3" TargetMode="External"/><Relationship Id="rId5" Type="http://schemas.openxmlformats.org/officeDocument/2006/relationships/hyperlink" Target="https://botland.com.pl/przetwornice-step-up/3686-przetwornica-step-up-5v-12-a-z-gniazdem-usb-5903351241304.html" TargetMode="External"/><Relationship Id="rId6" Type="http://schemas.openxmlformats.org/officeDocument/2006/relationships/hyperlink" Target="https://botland.com.pl/konwertery-napiec/8590-konwerter-poziomow-logicznych-dwukierunkowy-8-kanalowy-5904422336660.html" TargetMode="External"/><Relationship Id="rId7" Type="http://schemas.openxmlformats.org/officeDocument/2006/relationships/hyperlink" Target="https://botland.com.pl/moduly-wifi-i-bt-esp32/23340-esp32-s3-dev-kit-n8r8-plytka-rozwojowa-wifi-bluetooth-bez-zlacz-waveshare-24363.html" TargetMode="External"/><Relationship Id="rId8" Type="http://schemas.openxmlformats.org/officeDocument/2006/relationships/hyperlink" Target="https://botland.com.pl/koszyki-na-baterie/5242-koszyk-na-1-akumulator-typu-18650-590442233339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7.88"/>
    <col customWidth="1" min="4" max="5" width="17.5"/>
    <col customWidth="1" min="6" max="6" width="18.63"/>
  </cols>
  <sheetData>
    <row r="2">
      <c r="B2" s="1" t="s">
        <v>0</v>
      </c>
      <c r="C2" s="4" t="s">
        <v>2</v>
      </c>
      <c r="D2" s="3"/>
      <c r="E2" s="3"/>
      <c r="F2" s="5"/>
    </row>
    <row r="3">
      <c r="B3" s="6" t="s">
        <v>3</v>
      </c>
      <c r="C3" s="8" t="s">
        <v>5</v>
      </c>
      <c r="D3" s="10" t="s">
        <v>7</v>
      </c>
      <c r="E3" s="10" t="s">
        <v>8</v>
      </c>
      <c r="F3" s="12" t="s">
        <v>10</v>
      </c>
    </row>
    <row r="4">
      <c r="B4" s="15" t="s">
        <v>15</v>
      </c>
      <c r="C4" s="16" t="s">
        <v>16</v>
      </c>
      <c r="D4" s="17" t="s">
        <v>18</v>
      </c>
      <c r="E4" s="17" t="s">
        <v>19</v>
      </c>
      <c r="F4" s="18"/>
    </row>
    <row r="5">
      <c r="B5" s="15" t="s">
        <v>20</v>
      </c>
      <c r="C5" s="19"/>
      <c r="D5" s="20"/>
      <c r="E5" s="20"/>
      <c r="F5" s="18"/>
    </row>
    <row r="6">
      <c r="B6" s="15" t="s">
        <v>21</v>
      </c>
      <c r="C6" s="16" t="s">
        <v>22</v>
      </c>
      <c r="D6" s="17" t="s">
        <v>23</v>
      </c>
      <c r="E6" s="17" t="s">
        <v>24</v>
      </c>
      <c r="F6" s="18"/>
    </row>
    <row r="7">
      <c r="B7" s="15" t="s">
        <v>25</v>
      </c>
      <c r="C7" s="19"/>
      <c r="D7" s="20"/>
      <c r="E7" s="20"/>
      <c r="F7" s="18"/>
    </row>
    <row r="8">
      <c r="B8" s="15" t="s">
        <v>26</v>
      </c>
      <c r="C8" s="16" t="s">
        <v>27</v>
      </c>
      <c r="D8" s="17" t="s">
        <v>28</v>
      </c>
      <c r="E8" s="17" t="s">
        <v>29</v>
      </c>
      <c r="F8" s="18"/>
    </row>
    <row r="9">
      <c r="B9" s="15" t="s">
        <v>30</v>
      </c>
      <c r="C9" s="19"/>
      <c r="D9" s="20"/>
      <c r="E9" s="20"/>
      <c r="F9" s="18"/>
    </row>
    <row r="10">
      <c r="B10" s="15" t="s">
        <v>31</v>
      </c>
      <c r="C10" s="16" t="s">
        <v>32</v>
      </c>
      <c r="D10" s="17" t="s">
        <v>33</v>
      </c>
      <c r="E10" s="17" t="s">
        <v>34</v>
      </c>
      <c r="F10" s="18"/>
    </row>
    <row r="11">
      <c r="B11" s="23" t="s">
        <v>35</v>
      </c>
      <c r="C11" s="19"/>
      <c r="D11" s="20"/>
      <c r="E11" s="20"/>
      <c r="F11" s="24"/>
    </row>
    <row r="12">
      <c r="B12" s="25" t="s">
        <v>36</v>
      </c>
      <c r="C12" s="26" t="s">
        <v>37</v>
      </c>
      <c r="D12" s="28" t="s">
        <v>38</v>
      </c>
      <c r="E12" s="28" t="s">
        <v>39</v>
      </c>
      <c r="F12" s="29" t="s">
        <v>41</v>
      </c>
      <c r="G12" s="30"/>
    </row>
  </sheetData>
  <mergeCells count="14">
    <mergeCell ref="C4:C5"/>
    <mergeCell ref="D4:D5"/>
    <mergeCell ref="C6:C7"/>
    <mergeCell ref="D6:D7"/>
    <mergeCell ref="E6:E7"/>
    <mergeCell ref="C2:F2"/>
    <mergeCell ref="E4:E5"/>
    <mergeCell ref="F3:F11"/>
    <mergeCell ref="C8:C9"/>
    <mergeCell ref="D8:D9"/>
    <mergeCell ref="E8:E9"/>
    <mergeCell ref="C10:C11"/>
    <mergeCell ref="D10:D11"/>
    <mergeCell ref="E10:E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9.0"/>
  </cols>
  <sheetData>
    <row r="2">
      <c r="B2" s="2" t="s">
        <v>1</v>
      </c>
      <c r="C2" s="3"/>
      <c r="D2" s="3"/>
      <c r="E2" s="3"/>
      <c r="F2" s="3"/>
      <c r="G2" s="5"/>
    </row>
    <row r="3">
      <c r="B3" s="7" t="s">
        <v>4</v>
      </c>
      <c r="C3" s="9" t="s">
        <v>6</v>
      </c>
      <c r="D3" s="11" t="s">
        <v>9</v>
      </c>
      <c r="E3" s="11" t="s">
        <v>11</v>
      </c>
      <c r="F3" s="11" t="s">
        <v>12</v>
      </c>
      <c r="G3" s="13" t="s">
        <v>13</v>
      </c>
    </row>
    <row r="4">
      <c r="B4" s="14" t="s">
        <v>14</v>
      </c>
      <c r="C4" s="21" t="s">
        <v>17</v>
      </c>
      <c r="D4" s="22">
        <v>2.0</v>
      </c>
      <c r="E4" s="22">
        <v>24.9</v>
      </c>
      <c r="F4" s="22">
        <v>11.0</v>
      </c>
      <c r="G4" s="27">
        <f t="shared" ref="G4:G13" si="1">E4*D4+F4</f>
        <v>60.8</v>
      </c>
    </row>
    <row r="5">
      <c r="B5" s="14" t="s">
        <v>40</v>
      </c>
      <c r="C5" s="21" t="s">
        <v>17</v>
      </c>
      <c r="D5" s="22">
        <v>1.0</v>
      </c>
      <c r="E5" s="22">
        <v>21.0</v>
      </c>
      <c r="F5" s="22">
        <v>12.0</v>
      </c>
      <c r="G5" s="27">
        <f t="shared" si="1"/>
        <v>33</v>
      </c>
    </row>
    <row r="6">
      <c r="B6" s="14" t="s">
        <v>42</v>
      </c>
      <c r="C6" s="21" t="s">
        <v>17</v>
      </c>
      <c r="D6" s="22">
        <v>5.0</v>
      </c>
      <c r="E6" s="22">
        <v>10.5</v>
      </c>
      <c r="F6" s="22">
        <v>0.0</v>
      </c>
      <c r="G6" s="27">
        <f t="shared" si="1"/>
        <v>52.5</v>
      </c>
    </row>
    <row r="7">
      <c r="B7" s="14" t="s">
        <v>43</v>
      </c>
      <c r="C7" s="21" t="s">
        <v>44</v>
      </c>
      <c r="D7" s="22">
        <v>2.0</v>
      </c>
      <c r="E7" s="31">
        <f>45/5</f>
        <v>9</v>
      </c>
      <c r="F7" s="22">
        <v>13.0</v>
      </c>
      <c r="G7" s="27">
        <f t="shared" si="1"/>
        <v>31</v>
      </c>
    </row>
    <row r="8">
      <c r="B8" s="14" t="s">
        <v>45</v>
      </c>
      <c r="C8" s="21" t="s">
        <v>17</v>
      </c>
      <c r="D8" s="22">
        <v>1.0</v>
      </c>
      <c r="E8" s="22">
        <v>5.2</v>
      </c>
      <c r="F8" s="22">
        <v>0.0</v>
      </c>
      <c r="G8" s="27">
        <f t="shared" si="1"/>
        <v>5.2</v>
      </c>
    </row>
    <row r="9">
      <c r="B9" s="14" t="s">
        <v>46</v>
      </c>
      <c r="C9" s="21" t="s">
        <v>17</v>
      </c>
      <c r="D9" s="22">
        <v>1.0</v>
      </c>
      <c r="E9" s="22">
        <v>11.9</v>
      </c>
      <c r="F9" s="22">
        <v>0.0</v>
      </c>
      <c r="G9" s="27">
        <f t="shared" si="1"/>
        <v>11.9</v>
      </c>
    </row>
    <row r="10">
      <c r="B10" s="14" t="s">
        <v>47</v>
      </c>
      <c r="C10" s="21" t="s">
        <v>17</v>
      </c>
      <c r="D10" s="22">
        <v>1.0</v>
      </c>
      <c r="E10" s="22">
        <v>50.0</v>
      </c>
      <c r="F10" s="22">
        <v>0.0</v>
      </c>
      <c r="G10" s="27">
        <f t="shared" si="1"/>
        <v>50</v>
      </c>
    </row>
    <row r="11">
      <c r="B11" s="14" t="s">
        <v>48</v>
      </c>
      <c r="C11" s="21" t="s">
        <v>17</v>
      </c>
      <c r="D11" s="22">
        <v>5.0</v>
      </c>
      <c r="E11" s="22">
        <v>2.9</v>
      </c>
      <c r="F11" s="22">
        <v>0.0</v>
      </c>
      <c r="G11" s="27">
        <f t="shared" si="1"/>
        <v>14.5</v>
      </c>
    </row>
    <row r="12">
      <c r="B12" s="14" t="s">
        <v>49</v>
      </c>
      <c r="C12" s="21" t="s">
        <v>50</v>
      </c>
      <c r="D12" s="22">
        <v>1.0</v>
      </c>
      <c r="E12" s="22">
        <v>23.0</v>
      </c>
      <c r="F12" s="22">
        <v>11.0</v>
      </c>
      <c r="G12" s="27">
        <f t="shared" si="1"/>
        <v>34</v>
      </c>
    </row>
    <row r="13">
      <c r="B13" s="32" t="s">
        <v>51</v>
      </c>
      <c r="C13" s="33" t="s">
        <v>50</v>
      </c>
      <c r="D13" s="34">
        <v>1.0</v>
      </c>
      <c r="E13" s="34">
        <v>26.99</v>
      </c>
      <c r="F13" s="35">
        <v>11.0</v>
      </c>
      <c r="G13" s="36">
        <f t="shared" si="1"/>
        <v>37.99</v>
      </c>
    </row>
    <row r="14">
      <c r="F14" s="37" t="s">
        <v>52</v>
      </c>
      <c r="G14" s="38">
        <f>SUM(G4:G13)</f>
        <v>330.89</v>
      </c>
    </row>
    <row r="22">
      <c r="F22" s="39"/>
    </row>
  </sheetData>
  <mergeCells count="1">
    <mergeCell ref="B2:G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</hyperlinks>
  <drawing r:id="rId11"/>
</worksheet>
</file>